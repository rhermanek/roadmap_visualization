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nrisecomm.sharepoint.com/sites/GRP-0001770-Management/Shared Documents/Management/Budget/RCT/2026/"/>
    </mc:Choice>
  </mc:AlternateContent>
  <xr:revisionPtr revIDLastSave="224" documentId="13_ncr:1_{00DDD033-7F7B-F445-9D46-3078419DFB11}" xr6:coauthVersionLast="47" xr6:coauthVersionMax="47" xr10:uidLastSave="{1045B71E-B514-EA4A-B95B-7FBA1012159B}"/>
  <bookViews>
    <workbookView xWindow="0" yWindow="-28180" windowWidth="51200" windowHeight="28180" activeTab="1" xr2:uid="{00000000-000D-0000-FFFF-FFFF00000000}"/>
  </bookViews>
  <sheets>
    <sheet name="inputs" sheetId="2" r:id="rId1"/>
    <sheet name="Roadmap_item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A11" i="1" l="1"/>
  <c r="A2" i="1"/>
  <c r="A3" i="1"/>
  <c r="A4" i="1"/>
  <c r="A5" i="1"/>
  <c r="A6" i="1"/>
  <c r="A7" i="1"/>
  <c r="A8" i="1"/>
  <c r="A9" i="1"/>
  <c r="A10" i="1"/>
</calcChain>
</file>

<file path=xl/sharedStrings.xml><?xml version="1.0" encoding="utf-8"?>
<sst xmlns="http://schemas.openxmlformats.org/spreadsheetml/2006/main" count="41" uniqueCount="34">
  <si>
    <t>Project abbreviation</t>
  </si>
  <si>
    <t>Year</t>
  </si>
  <si>
    <t>ID</t>
  </si>
  <si>
    <t>Name</t>
  </si>
  <si>
    <t>Description</t>
  </si>
  <si>
    <t>Acceptance Criteria</t>
  </si>
  <si>
    <t>Start</t>
  </si>
  <si>
    <t>End</t>
  </si>
  <si>
    <t>PD</t>
  </si>
  <si>
    <t>Cost</t>
  </si>
  <si>
    <t>01.01.2026</t>
  </si>
  <si>
    <t>RCT</t>
  </si>
  <si>
    <t>Baseline UI, UX &amp; QOL improvements</t>
  </si>
  <si>
    <t>Baseline item to cover any continuous improvements to UI, UX and QOL.</t>
  </si>
  <si>
    <t>-</t>
  </si>
  <si>
    <t>31.12.2026</t>
  </si>
  <si>
    <t>Jenkins Integration for Deployments</t>
  </si>
  <si>
    <t>Be able to trigger deployment for a single application from RCT. Plan architecture to support application packages (multiple apps at once).</t>
  </si>
  <si>
    <t>Deprecate ETCD in favor of MongoDB</t>
  </si>
  <si>
    <t>RCT currently employs both ETCD and MongoDB. Deprecate ETCD to only use MongoDB to simplify deployment and improve performance/stability.</t>
  </si>
  <si>
    <t>Goal</t>
  </si>
  <si>
    <t>Baseline</t>
  </si>
  <si>
    <t>Architecture</t>
  </si>
  <si>
    <t>Feature enhancement</t>
  </si>
  <si>
    <t>Goals</t>
  </si>
  <si>
    <t>Improve Rollout/Restart Robustness</t>
  </si>
  <si>
    <t>Make the architecture more robust to not have dependencies on the startup/restart order of components during RCT deployment.</t>
  </si>
  <si>
    <t>Automate RCT's Own Production Deployments</t>
  </si>
  <si>
    <t>Use the RCT project as a PoC for automated production deployments (Staged: PR -&gt; Hooks -&gt; Rollback -&gt; Full Auto).</t>
  </si>
  <si>
    <t>EAI Cockpit Deprecation</t>
  </si>
  <si>
    <t>Deprecate the legacy EAI Cockpit tool, migrating its functionalities to modern platforms like RCT.</t>
  </si>
  <si>
    <t>20.02.2026</t>
  </si>
  <si>
    <t>01.02.2026</t>
  </si>
  <si>
    <t>30.04.2026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</si>
</sst>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(* #,##0_);_(* \(#,##0\);_(* &quot;-&quot;_);_(@_)"/>
    <numFmt numFmtId="164" formatCode="[$]dd\.mm\.yyyy;@" x16r2:formatCode16="[$-gsw-CH,1]dd\.mm\.yyyy;@"/>
  </numFmts>
  <fonts count="5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1" tint="4.9989318521683403E-2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164" fontId="2" fillId="0" borderId="3" xfId="0" applyNumberFormat="1" applyFont="1" applyBorder="1" applyAlignment="1">
      <alignment horizontal="right" vertical="top"/>
    </xf>
    <xf numFmtId="41" fontId="2" fillId="0" borderId="3" xfId="0" applyNumberFormat="1" applyFon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right" vertical="top"/>
    </xf>
    <xf numFmtId="41" fontId="2" fillId="0" borderId="5" xfId="0" applyNumberFormat="1" applyFont="1" applyBorder="1" applyAlignment="1">
      <alignment horizontal="right" vertical="top"/>
    </xf>
    <xf numFmtId="1" fontId="2" fillId="0" borderId="5" xfId="0" applyNumberFormat="1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4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6" xfId="0" applyFont="1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3" fillId="4" borderId="9" xfId="0" applyFont="1" applyFill="1" applyBorder="1" applyAlignment="1">
      <alignment horizontal="left" vertical="top"/>
    </xf>
  </cellXfs>
  <cellStyles count="1">
    <cellStyle name="Normal" xfId="0" builtinId="0"/>
  </cellStyles>
  <dxfs count="14"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top"/>
      <border diagonalUp="0" diagonalDown="0">
        <left/>
        <right style="thin">
          <color theme="1" tint="4.9989318521683403E-2"/>
        </right>
        <top style="thin">
          <color theme="0" tint="-0.14999847407452621"/>
        </top>
        <bottom style="thin">
          <color theme="0" tint="-0.14999847407452621"/>
        </bottom>
        <vertical/>
        <horizontal style="thin">
          <color theme="0" tint="-0.14999847407452621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/>
      <border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3" formatCode="_(* #,##0_);_(* \(#,##0\);_(* &quot;-&quot;_);_(@_)"/>
      <alignment horizontal="right" vertical="top"/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right" vertical="top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]dd\.mm\.yyyy;@" x16r2:formatCode16="[$-gsw-CH,1]dd\.mm\.yyyy;@"/>
      <alignment horizontal="right" vertical="top"/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]dd\.mm\.yyyy;@" x16r2:formatCode16="[$-gsw-CH,1]dd\.mm\.yyyy;@"/>
      <alignment horizontal="right" vertical="top"/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>
        <top style="thin">
          <color theme="0" tint="-0.14999847407452621"/>
        </top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vertical="top"/>
    </dxf>
    <dxf>
      <border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/>
        <bottom/>
        <vertical style="thin">
          <color theme="0" tint="-0.14999847407452621"/>
        </vertical>
        <horizontal style="thin">
          <color theme="0" tint="-0.14999847407452621"/>
        </horizontal>
      </border>
    </dxf>
  </dxfs>
  <tableStyles count="1" defaultTableStyle="Sunrise_Roadmap" defaultPivotStyle="PivotStyleLight16">
    <tableStyle name="Sunrise_Roadmap" pivot="0" count="0" xr9:uid="{BAD19C80-5C9E-9346-B33A-D1379D96BD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06DF6-4A32-4144-A6D0-DBCA98ABF766}" name="Table1" displayName="Table1" ref="A1:I11" totalsRowShown="0" headerRowDxfId="13" dataDxfId="11" headerRowBorderDxfId="12" tableBorderDxfId="10" totalsRowBorderDxfId="9">
  <autoFilter ref="A1:I11" xr:uid="{7D406DF6-4A32-4144-A6D0-DBCA98ABF766}"/>
  <tableColumns count="9">
    <tableColumn id="1" xr3:uid="{F5307611-43AA-FE4C-889A-D5C1CB9C9596}" name="ID" dataDxfId="0">
      <calculatedColumnFormula>inputs!$B$2 &amp; "-" &amp; inputs!$B$4 &amp; "-" &amp; TEXT(ROWS($A$2:A2), "000")</calculatedColumnFormula>
    </tableColumn>
    <tableColumn id="2" xr3:uid="{5BB34818-1542-3344-BC15-099D20B5C968}" name="Name" dataDxfId="1"/>
    <tableColumn id="6" xr3:uid="{1F0E9379-157B-1E44-9ACF-B496F6C18D3C}" name="Goal" dataDxfId="2"/>
    <tableColumn id="9" xr3:uid="{B5849915-24E4-4CAB-880F-9CAE0F3C220E}" name="Description" dataDxfId="3"/>
    <tableColumn id="10" xr3:uid="{2F11D526-21A2-4481-B820-D34B8D108CE8}" name="Acceptance Criteria" dataDxfId="8"/>
    <tableColumn id="3" xr3:uid="{61E1F3E7-8512-5945-8FA5-B6C467D88D98}" name="Start" dataDxfId="7"/>
    <tableColumn id="4" xr3:uid="{39430115-C167-DF4D-8339-04D141302B52}" name="End" dataDxfId="6"/>
    <tableColumn id="8" xr3:uid="{E86AF29B-F839-E54C-A8CB-3FA023CE8AAB}" name="PD" dataDxfId="5"/>
    <tableColumn id="5" xr3:uid="{C38A4A92-7374-C046-BED9-DB907F306341}" name="Cost" dataDxfId="4">
      <calculatedColumnFormula>Table1[[#This Row],[PD]]*340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FBA4-A696-46CE-B924-FD5C8D8E8C07}">
  <sheetPr codeName="Sheet2"/>
  <dimension ref="A2:B8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31.1640625" customWidth="1"/>
    <col min="2" max="2" width="28.33203125" customWidth="1"/>
  </cols>
  <sheetData>
    <row r="2" spans="1:2" ht="43.5" customHeight="1" x14ac:dyDescent="0.2">
      <c r="A2" s="14" t="s">
        <v>0</v>
      </c>
      <c r="B2" s="15" t="s">
        <v>11</v>
      </c>
    </row>
    <row r="3" spans="1:2" ht="4.5" customHeight="1" x14ac:dyDescent="0.2"/>
    <row r="4" spans="1:2" ht="42.75" customHeight="1" x14ac:dyDescent="0.2">
      <c r="A4" s="14" t="s">
        <v>1</v>
      </c>
      <c r="B4" s="15">
        <v>2026</v>
      </c>
    </row>
    <row r="5" spans="1:2" ht="4" customHeight="1" x14ac:dyDescent="0.2"/>
    <row r="6" spans="1:2" ht="19" customHeight="1" x14ac:dyDescent="0.2">
      <c r="A6" s="22" t="s">
        <v>24</v>
      </c>
      <c r="B6" t="s">
        <v>21</v>
      </c>
    </row>
    <row r="7" spans="1:2" x14ac:dyDescent="0.2">
      <c r="A7" s="22"/>
      <c r="B7" t="s">
        <v>23</v>
      </c>
    </row>
    <row r="8" spans="1:2" x14ac:dyDescent="0.2">
      <c r="A8" s="22"/>
      <c r="B8" t="s">
        <v>22</v>
      </c>
    </row>
  </sheetData>
  <mergeCells count="1">
    <mergeCell ref="A6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1"/>
  <sheetViews>
    <sheetView tabSelected="1" zoomScale="120" zoomScaleNormal="120" workbookViewId="0">
      <pane xSplit="2" topLeftCell="C1" activePane="topRight" state="frozen"/>
      <selection pane="topRight" activeCell="F7" sqref="F7"/>
    </sheetView>
  </sheetViews>
  <sheetFormatPr baseColWidth="10" defaultColWidth="8.83203125" defaultRowHeight="15" x14ac:dyDescent="0.2"/>
  <cols>
    <col min="1" max="1" width="18.83203125" customWidth="1"/>
    <col min="2" max="2" width="63.1640625" bestFit="1" customWidth="1"/>
    <col min="3" max="3" width="63.1640625" customWidth="1"/>
    <col min="4" max="4" width="77.83203125" customWidth="1"/>
    <col min="5" max="5" width="83.6640625" customWidth="1"/>
    <col min="6" max="7" width="14.1640625" style="1" bestFit="1" customWidth="1"/>
    <col min="8" max="8" width="14.1640625" style="1" customWidth="1"/>
    <col min="9" max="9" width="14.83203125" customWidth="1"/>
  </cols>
  <sheetData>
    <row r="1" spans="1:9" ht="34" customHeight="1" x14ac:dyDescent="0.2">
      <c r="A1" s="11" t="s">
        <v>2</v>
      </c>
      <c r="B1" s="5" t="s">
        <v>3</v>
      </c>
      <c r="C1" s="5" t="s">
        <v>20</v>
      </c>
      <c r="D1" s="7" t="s">
        <v>4</v>
      </c>
      <c r="E1" s="12" t="s">
        <v>5</v>
      </c>
      <c r="F1" s="6" t="s">
        <v>6</v>
      </c>
      <c r="G1" s="6" t="s">
        <v>7</v>
      </c>
      <c r="H1" s="6" t="s">
        <v>8</v>
      </c>
      <c r="I1" s="5" t="s">
        <v>9</v>
      </c>
    </row>
    <row r="2" spans="1:9" ht="19" x14ac:dyDescent="0.2">
      <c r="A2" s="23" t="str">
        <f>inputs!$B$2 &amp; "-" &amp; inputs!$B$4 &amp; "-" &amp; TEXT(ROWS($A$2:A2), "000")</f>
        <v>RCT-2026-001</v>
      </c>
      <c r="B2" s="16" t="s">
        <v>12</v>
      </c>
      <c r="C2" s="20" t="s">
        <v>21</v>
      </c>
      <c r="D2" s="19" t="s">
        <v>13</v>
      </c>
      <c r="E2" s="19" t="s">
        <v>14</v>
      </c>
      <c r="F2" s="2" t="s">
        <v>10</v>
      </c>
      <c r="G2" s="2" t="s">
        <v>15</v>
      </c>
      <c r="H2" s="4"/>
      <c r="I2" s="3">
        <f>Table1[[#This Row],[PD]]*340</f>
        <v>0</v>
      </c>
    </row>
    <row r="3" spans="1:9" ht="32" x14ac:dyDescent="0.2">
      <c r="A3" s="23" t="str">
        <f>inputs!$B$2 &amp; "-" &amp; inputs!$B$4 &amp; "-" &amp; TEXT(ROWS($A$2:A3), "000")</f>
        <v>RCT-2026-002</v>
      </c>
      <c r="B3" s="16" t="s">
        <v>16</v>
      </c>
      <c r="C3" s="20" t="s">
        <v>23</v>
      </c>
      <c r="D3" s="19" t="s">
        <v>17</v>
      </c>
      <c r="E3" s="18"/>
      <c r="F3" s="2"/>
      <c r="G3" s="2"/>
      <c r="H3" s="4"/>
      <c r="I3" s="3">
        <f>Table1[[#This Row],[PD]]*340</f>
        <v>0</v>
      </c>
    </row>
    <row r="4" spans="1:9" ht="32" x14ac:dyDescent="0.2">
      <c r="A4" s="23" t="str">
        <f>inputs!$B$2 &amp; "-" &amp; inputs!$B$4 &amp; "-" &amp; TEXT(ROWS($A$2:A4), "000")</f>
        <v>RCT-2026-003</v>
      </c>
      <c r="B4" s="16" t="s">
        <v>18</v>
      </c>
      <c r="C4" s="20" t="s">
        <v>22</v>
      </c>
      <c r="D4" s="19" t="s">
        <v>19</v>
      </c>
      <c r="E4" s="18"/>
      <c r="F4" s="2" t="s">
        <v>10</v>
      </c>
      <c r="G4" s="2" t="s">
        <v>31</v>
      </c>
      <c r="H4" s="4"/>
      <c r="I4" s="3">
        <f>Table1[[#This Row],[PD]]*340</f>
        <v>0</v>
      </c>
    </row>
    <row r="5" spans="1:9" ht="32" x14ac:dyDescent="0.2">
      <c r="A5" s="23" t="str">
        <f>inputs!$B$2 &amp; "-" &amp; inputs!$B$4 &amp; "-" &amp; TEXT(ROWS($A$2:A5), "000")</f>
        <v>RCT-2026-004</v>
      </c>
      <c r="B5" s="16" t="s">
        <v>25</v>
      </c>
      <c r="C5" s="20" t="s">
        <v>22</v>
      </c>
      <c r="D5" s="19" t="s">
        <v>26</v>
      </c>
      <c r="E5" s="18"/>
      <c r="F5" s="2"/>
      <c r="G5" s="2"/>
      <c r="H5" s="4"/>
      <c r="I5" s="3">
        <f>Table1[[#This Row],[PD]]*340</f>
        <v>0</v>
      </c>
    </row>
    <row r="6" spans="1:9" ht="32" x14ac:dyDescent="0.2">
      <c r="A6" s="23" t="str">
        <f>inputs!$B$2 &amp; "-" &amp; inputs!$B$4 &amp; "-" &amp; TEXT(ROWS($A$2:A6), "000")</f>
        <v>RCT-2026-005</v>
      </c>
      <c r="B6" s="16" t="s">
        <v>27</v>
      </c>
      <c r="C6" s="20" t="s">
        <v>23</v>
      </c>
      <c r="D6" s="19" t="s">
        <v>28</v>
      </c>
      <c r="E6" s="18"/>
      <c r="F6" s="2" t="s">
        <v>32</v>
      </c>
      <c r="G6" s="2" t="s">
        <v>33</v>
      </c>
      <c r="H6" s="4"/>
      <c r="I6" s="3">
        <f>Table1[[#This Row],[PD]]*340</f>
        <v>0</v>
      </c>
    </row>
    <row r="7" spans="1:9" ht="19" x14ac:dyDescent="0.2">
      <c r="A7" s="23" t="str">
        <f>inputs!$B$2 &amp; "-" &amp; inputs!$B$4 &amp; "-" &amp; TEXT(ROWS($A$2:A7), "000")</f>
        <v>RCT-2026-006</v>
      </c>
      <c r="B7" s="16" t="s">
        <v>29</v>
      </c>
      <c r="C7" s="21" t="s">
        <v>21</v>
      </c>
      <c r="D7" s="18" t="s">
        <v>30</v>
      </c>
      <c r="E7" s="18"/>
      <c r="F7" s="2"/>
      <c r="G7" s="2"/>
      <c r="H7" s="4"/>
      <c r="I7" s="3">
        <f>Table1[[#This Row],[PD]]*340</f>
        <v>0</v>
      </c>
    </row>
    <row r="8" spans="1:9" ht="19" x14ac:dyDescent="0.2">
      <c r="A8" s="23" t="str">
        <f>inputs!$B$2 &amp; "-" &amp; inputs!$B$4 &amp; "-" &amp; TEXT(ROWS($A$2:A8), "000")</f>
        <v>RCT-2026-007</v>
      </c>
      <c r="B8" s="16"/>
      <c r="C8" s="20"/>
      <c r="D8" s="19"/>
      <c r="E8" s="18"/>
      <c r="F8" s="2"/>
      <c r="G8" s="2"/>
      <c r="H8" s="4"/>
      <c r="I8" s="3">
        <f>Table1[[#This Row],[PD]]*340</f>
        <v>0</v>
      </c>
    </row>
    <row r="9" spans="1:9" ht="19" x14ac:dyDescent="0.2">
      <c r="A9" s="23" t="str">
        <f>inputs!$B$2 &amp; "-" &amp; inputs!$B$4 &amp; "-" &amp; TEXT(ROWS($A$2:A9), "000")</f>
        <v>RCT-2026-008</v>
      </c>
      <c r="B9" s="16"/>
      <c r="C9" s="20"/>
      <c r="D9" s="19"/>
      <c r="E9" s="18"/>
      <c r="F9" s="2"/>
      <c r="G9" s="2"/>
      <c r="H9" s="4"/>
      <c r="I9" s="3">
        <f>Table1[[#This Row],[PD]]*340</f>
        <v>0</v>
      </c>
    </row>
    <row r="10" spans="1:9" ht="19" x14ac:dyDescent="0.2">
      <c r="A10" s="23" t="str">
        <f>inputs!$B$2 &amp; "-" &amp; inputs!$B$4 &amp; "-" &amp; TEXT(ROWS($A$2:A10), "000")</f>
        <v>RCT-2026-009</v>
      </c>
      <c r="B10" s="16"/>
      <c r="C10" s="20"/>
      <c r="D10" s="19"/>
      <c r="E10" s="18"/>
      <c r="F10" s="2"/>
      <c r="G10" s="2"/>
      <c r="H10" s="4"/>
      <c r="I10" s="3">
        <f>Table1[[#This Row],[PD]]*340</f>
        <v>0</v>
      </c>
    </row>
    <row r="11" spans="1:9" ht="19" x14ac:dyDescent="0.2">
      <c r="A11" s="23" t="str">
        <f>inputs!$B$2 &amp; "-" &amp; inputs!$B$4 &amp; "-" &amp; TEXT(ROWS($A$2:A11), "000")</f>
        <v>RCT-2026-010</v>
      </c>
      <c r="B11" s="16"/>
      <c r="C11" s="20"/>
      <c r="D11" s="17"/>
      <c r="E11" s="13"/>
      <c r="F11" s="8"/>
      <c r="G11" s="8"/>
      <c r="H11" s="10"/>
      <c r="I11" s="9">
        <f>Table1[[#This Row],[PD]]*340</f>
        <v>0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BBE1EC-5BF9-6A4C-990F-F5C8A25458B8}">
          <x14:formula1>
            <xm:f>inputs!$B$6:$B$8</xm:f>
          </x14:formula1>
          <xm:sqref>C2:C4 C6:C10 D5 C5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F2EC594251540B68D991F7A4076FF" ma:contentTypeVersion="3" ma:contentTypeDescription="Create a new document." ma:contentTypeScope="" ma:versionID="1a6a4e23ed3ff0aaf738f6d46266bd01">
  <xsd:schema xmlns:xsd="http://www.w3.org/2001/XMLSchema" xmlns:xs="http://www.w3.org/2001/XMLSchema" xmlns:p="http://schemas.microsoft.com/office/2006/metadata/properties" xmlns:ns2="a4b06eb1-cd3d-4706-b109-7a3a72fabe97" targetNamespace="http://schemas.microsoft.com/office/2006/metadata/properties" ma:root="true" ma:fieldsID="a18fcdaa976032ed23a8a722a90a913e" ns2:_="">
    <xsd:import namespace="a4b06eb1-cd3d-4706-b109-7a3a72fabe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06eb1-cd3d-4706-b109-7a3a72fabe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B0EB09-7AD3-44DF-89FB-B60ECD00F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b06eb1-cd3d-4706-b109-7a3a72fabe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692C5-E0DE-4A5C-893B-03DF3C1B542C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a4b06eb1-cd3d-4706-b109-7a3a72fabe97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C390214-F73C-4EC3-A8B8-B191177838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Roadmap_items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Hermanek, Robin</cp:lastModifiedBy>
  <cp:revision/>
  <dcterms:created xsi:type="dcterms:W3CDTF">2025-11-17T14:31:29Z</dcterms:created>
  <dcterms:modified xsi:type="dcterms:W3CDTF">2025-11-21T13:28:59Z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0x01010031DF2EC594251540B68D991F7A4076FF</vt:lpwstr>
  </property>
</Properties>
</file>